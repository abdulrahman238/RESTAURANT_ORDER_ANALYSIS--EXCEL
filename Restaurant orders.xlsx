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Abdul Rahman\Desktop\project\finish projects\"/>
    </mc:Choice>
  </mc:AlternateContent>
  <xr:revisionPtr revIDLastSave="0" documentId="13_ncr:1_{51F4C868-5F87-41FC-A966-9A5F96C0FDF7}" xr6:coauthVersionLast="47" xr6:coauthVersionMax="47" xr10:uidLastSave="{00000000-0000-0000-0000-000000000000}"/>
  <bookViews>
    <workbookView xWindow="-120" yWindow="-120" windowWidth="20730" windowHeight="11040" activeTab="1" xr2:uid="{640CAE6E-6CA1-48D5-AAFF-2DCB740A2765}"/>
  </bookViews>
  <sheets>
    <sheet name="PIVOT" sheetId="1" r:id="rId1"/>
    <sheet name="dashboard" sheetId="2" r:id="rId2"/>
  </sheets>
  <definedNames>
    <definedName name="_xlchart.v2.0" hidden="1">PIVOT!$A$35:$A$41</definedName>
    <definedName name="_xlchart.v2.1" hidden="1">PIVOT!$B$35:$B$41</definedName>
    <definedName name="Slicer_order_month">#N/A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nu_items_c0edf79e-8529-4b15-a75c-73711b1207fd" name="menu_items" connection="Query - menu_items"/>
          <x15:modelTable id="order_details_eaefe1c7-7dc0-47e2-b37d-444ec495b1e2" name="order_details" connection="Query - order_details"/>
        </x15:modelTables>
        <x15:modelRelationships>
          <x15:modelRelationship fromTable="order_details" fromColumn="item_id" toTable="menu_items" toColumn="menu_ite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K3" i="1"/>
  <c r="J4" i="1"/>
  <c r="K4" i="1"/>
  <c r="J5" i="1"/>
  <c r="K5" i="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26" i="1"/>
  <c r="K26" i="1"/>
  <c r="J27" i="1"/>
  <c r="K27" i="1"/>
  <c r="J28" i="1"/>
  <c r="K28" i="1"/>
  <c r="J29" i="1"/>
  <c r="K29" i="1"/>
  <c r="J30" i="1"/>
  <c r="K30" i="1"/>
  <c r="J31" i="1"/>
  <c r="K31" i="1"/>
  <c r="J32" i="1"/>
  <c r="K32" i="1"/>
  <c r="J33" i="1"/>
  <c r="K33" i="1"/>
  <c r="K2" i="1"/>
  <c r="J2" i="1"/>
  <c r="C36" i="1"/>
  <c r="D36" i="1"/>
  <c r="C37" i="1"/>
  <c r="D37" i="1"/>
  <c r="C38" i="1"/>
  <c r="D38" i="1"/>
  <c r="C39" i="1"/>
  <c r="D39" i="1"/>
  <c r="C40" i="1"/>
  <c r="D40" i="1"/>
  <c r="C41" i="1"/>
  <c r="D41" i="1"/>
  <c r="D35" i="1"/>
  <c r="C35" i="1"/>
  <c r="D19" i="1"/>
  <c r="D20" i="1"/>
  <c r="D21" i="1"/>
  <c r="D22" i="1"/>
  <c r="D23" i="1"/>
  <c r="D24" i="1"/>
  <c r="D25" i="1"/>
  <c r="D26" i="1"/>
  <c r="D27" i="1"/>
  <c r="D28" i="1"/>
  <c r="D29" i="1"/>
  <c r="D30" i="1"/>
  <c r="C20" i="1"/>
  <c r="C21" i="1"/>
  <c r="C22" i="1"/>
  <c r="C23" i="1"/>
  <c r="C24" i="1"/>
  <c r="C25" i="1"/>
  <c r="C26" i="1"/>
  <c r="C27" i="1"/>
  <c r="C28" i="1"/>
  <c r="C29" i="1"/>
  <c r="C30" i="1"/>
  <c r="C19" i="1"/>
  <c r="C3" i="1"/>
  <c r="D3" i="1"/>
  <c r="C4" i="1"/>
  <c r="D4" i="1"/>
  <c r="C5" i="1"/>
  <c r="D5" i="1"/>
  <c r="C6" i="1"/>
  <c r="D6" i="1"/>
  <c r="C7" i="1"/>
  <c r="D7" i="1"/>
  <c r="C8" i="1"/>
  <c r="D8" i="1"/>
  <c r="C9" i="1"/>
  <c r="D9" i="1"/>
  <c r="C10" i="1"/>
  <c r="D10" i="1"/>
  <c r="C11" i="1"/>
  <c r="D11" i="1"/>
  <c r="C12" i="1"/>
  <c r="D12" i="1"/>
  <c r="C13" i="1"/>
  <c r="D13" i="1"/>
  <c r="C14" i="1"/>
  <c r="D14" i="1"/>
  <c r="D2"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D128FB-51DB-4E3F-9D7F-A9500423A0DA}" name="Query - menu_items" description="Connection to the 'menu_items' query in the workbook." type="100" refreshedVersion="8" minRefreshableVersion="5">
    <extLst>
      <ext xmlns:x15="http://schemas.microsoft.com/office/spreadsheetml/2010/11/main" uri="{DE250136-89BD-433C-8126-D09CA5730AF9}">
        <x15:connection id="c5d551a0-845f-4980-bf5b-5e38219fae71"/>
      </ext>
    </extLst>
  </connection>
  <connection id="2" xr16:uid="{8DAD2D53-0D10-4ED4-8220-737B7B60A9E1}" name="Query - order_details" description="Connection to the 'order_details' query in the workbook." type="100" refreshedVersion="8" minRefreshableVersion="5">
    <extLst>
      <ext xmlns:x15="http://schemas.microsoft.com/office/spreadsheetml/2010/11/main" uri="{DE250136-89BD-433C-8126-D09CA5730AF9}">
        <x15:connection id="b4f80810-a52f-4993-84f5-3c005d822d32"/>
      </ext>
    </extLst>
  </connection>
  <connection id="3" xr16:uid="{AD6CA89E-47F5-462C-9465-A876C75F56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<sst xmlns="http://schemas.openxmlformats.org/spreadsheetml/2006/main" count="66" uniqueCount="60">
  <si>
    <t>Hamburger</t>
  </si>
  <si>
    <t>Cheeseburger</t>
  </si>
  <si>
    <t>Hot Dog</t>
  </si>
  <si>
    <t>Veggie Burger</t>
  </si>
  <si>
    <t>Mac &amp; Cheese</t>
  </si>
  <si>
    <t>French Fries</t>
  </si>
  <si>
    <t>Orange Chicken</t>
  </si>
  <si>
    <t>Tofu Pad Thai</t>
  </si>
  <si>
    <t>Korean Beef Bowl</t>
  </si>
  <si>
    <t>Pork Ramen</t>
  </si>
  <si>
    <t>California Roll</t>
  </si>
  <si>
    <t>Salmon Roll</t>
  </si>
  <si>
    <t>Edamame</t>
  </si>
  <si>
    <t>Potstickers</t>
  </si>
  <si>
    <t>Chicken Tacos</t>
  </si>
  <si>
    <t>Steak Tacos</t>
  </si>
  <si>
    <t>Chicken Burrito</t>
  </si>
  <si>
    <t>Steak Burrito</t>
  </si>
  <si>
    <t>Chicken Torta</t>
  </si>
  <si>
    <t>Steak Torta</t>
  </si>
  <si>
    <t>Cheese Quesadillas</t>
  </si>
  <si>
    <t>Chips &amp; Salsa</t>
  </si>
  <si>
    <t>Chips &amp; Guacamole</t>
  </si>
  <si>
    <t>Spaghetti</t>
  </si>
  <si>
    <t>Spaghetti &amp; Meatballs</t>
  </si>
  <si>
    <t>Fettuccine Alfredo</t>
  </si>
  <si>
    <t>Meat Lasagna</t>
  </si>
  <si>
    <t>Cheese Lasagna</t>
  </si>
  <si>
    <t>Mushroom Ravioli</t>
  </si>
  <si>
    <t>Shrimp Scampi</t>
  </si>
  <si>
    <t>Chicken Parmesan</t>
  </si>
  <si>
    <t>Eggplant Parmesan</t>
  </si>
  <si>
    <t>January</t>
  </si>
  <si>
    <t>Sunday</t>
  </si>
  <si>
    <t>Q1</t>
  </si>
  <si>
    <t>February</t>
  </si>
  <si>
    <t>Wednesday</t>
  </si>
  <si>
    <t>March</t>
  </si>
  <si>
    <t>April</t>
  </si>
  <si>
    <t>Saturday</t>
  </si>
  <si>
    <t>Q2</t>
  </si>
  <si>
    <t>May</t>
  </si>
  <si>
    <t>Monday</t>
  </si>
  <si>
    <t>June</t>
  </si>
  <si>
    <t>Thursday</t>
  </si>
  <si>
    <t>July</t>
  </si>
  <si>
    <t>Q3</t>
  </si>
  <si>
    <t>August</t>
  </si>
  <si>
    <t>Tuesday</t>
  </si>
  <si>
    <t>September</t>
  </si>
  <si>
    <t>Friday</t>
  </si>
  <si>
    <t>October</t>
  </si>
  <si>
    <t>Q4</t>
  </si>
  <si>
    <t>November</t>
  </si>
  <si>
    <t>December</t>
  </si>
  <si>
    <t>Sum of order_id</t>
  </si>
  <si>
    <t>hour</t>
  </si>
  <si>
    <t>month</t>
  </si>
  <si>
    <t>(blank)</t>
  </si>
  <si>
    <t>item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</si>
</sst>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pivotCacheDefinition" Target="pivotCache/pivotCacheDefinition1.xml"/><Relationship Id="rId21" Type="http://schemas.openxmlformats.org/officeDocument/2006/relationships/customXml" Target="../customXml/item6.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a:t>
            </a:r>
            <a:r>
              <a:rPr lang="en-US" b="1"/>
              <a:t>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PIVOT!$B$2:$B$14</c:f>
              <c:numCache>
                <c:formatCode>General</c:formatCode>
                <c:ptCount val="13"/>
                <c:pt idx="0">
                  <c:v>519440</c:v>
                </c:pt>
                <c:pt idx="1">
                  <c:v>1545643</c:v>
                </c:pt>
                <c:pt idx="2">
                  <c:v>1320417</c:v>
                </c:pt>
                <c:pt idx="3">
                  <c:v>920799</c:v>
                </c:pt>
                <c:pt idx="4">
                  <c:v>718951</c:v>
                </c:pt>
                <c:pt idx="5">
                  <c:v>874435</c:v>
                </c:pt>
                <c:pt idx="6">
                  <c:v>1218625</c:v>
                </c:pt>
                <c:pt idx="7">
                  <c:v>1166932</c:v>
                </c:pt>
                <c:pt idx="8">
                  <c:v>783273</c:v>
                </c:pt>
                <c:pt idx="9">
                  <c:v>762563</c:v>
                </c:pt>
                <c:pt idx="10">
                  <c:v>453953</c:v>
                </c:pt>
                <c:pt idx="11">
                  <c:v>242504</c:v>
                </c:pt>
                <c:pt idx="12">
                  <c:v>11811</c:v>
                </c:pt>
              </c:numCache>
            </c:numRef>
          </c:val>
          <c:smooth val="0"/>
          <c:extLst>
            <c:ext xmlns:c15="http://schemas.microsoft.com/office/drawing/2012/chart" uri="{02D57815-91ED-43cb-92C2-25804820EDAC}">
              <c15:filteredSeriesTitle>
                <c15:tx>
                  <c:strRef>
                    <c:extLst>
                      <c:ext uri="{02D57815-91ED-43cb-92C2-25804820EDAC}">
                        <c15:formulaRef>
                          <c15:sqref>PIVOT!$B$1</c15:sqref>
                        </c15:formulaRef>
                      </c:ext>
                    </c:extLst>
                    <c:strCache>
                      <c:ptCount val="1"/>
                      <c:pt idx="0">
                        <c:v>Sum of order_id</c:v>
                      </c:pt>
                    </c:strCache>
                  </c:strRef>
                </c15:tx>
              </c15:filteredSeriesTitle>
            </c:ext>
            <c:ext xmlns:c15="http://schemas.microsoft.com/office/drawing/2012/chart" uri="{02D57815-91ED-43cb-92C2-25804820EDAC}">
              <c15:filteredCategoryTitle>
                <c15:cat>
                  <c:numRef>
                    <c:extLst>
                      <c:ext uri="{02D57815-91ED-43cb-92C2-25804820EDAC}">
                        <c15:formulaRef>
                          <c15:sqref>PIVOT!$A$2:$A$14</c15:sqref>
                        </c15:formulaRef>
                      </c:ext>
                    </c:extLst>
                    <c:numCache>
                      <c:formatCode>General</c:formatCod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numCache>
                  </c:numRef>
                </c15:cat>
              </c15:filteredCategoryTitle>
            </c:ext>
            <c:ext xmlns:c16="http://schemas.microsoft.com/office/drawing/2014/chart" uri="{C3380CC4-5D6E-409C-BE32-E72D297353CC}">
              <c16:uniqueId val="{00000000-7CCA-4002-84E7-310557A6E41D}"/>
            </c:ext>
          </c:extLst>
        </c:ser>
        <c:dLbls>
          <c:dLblPos val="t"/>
          <c:showLegendKey val="0"/>
          <c:showVal val="1"/>
          <c:showCatName val="0"/>
          <c:showSerName val="0"/>
          <c:showPercent val="0"/>
          <c:showBubbleSize val="0"/>
        </c:dLbls>
        <c:smooth val="0"/>
        <c:axId val="1228788512"/>
        <c:axId val="1228775552"/>
      </c:lineChart>
      <c:catAx>
        <c:axId val="122878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crossAx val="1228775552"/>
        <c:crosses val="autoZero"/>
        <c:auto val="1"/>
        <c:lblAlgn val="ctr"/>
        <c:lblOffset val="100"/>
        <c:noMultiLvlLbl val="0"/>
      </c:catAx>
      <c:valAx>
        <c:axId val="1228775552"/>
        <c:scaling>
          <c:orientation val="minMax"/>
        </c:scaling>
        <c:delete val="1"/>
        <c:axPos val="l"/>
        <c:numFmt formatCode="General" sourceLinked="1"/>
        <c:majorTickMark val="out"/>
        <c:minorTickMark val="none"/>
        <c:tickLblPos val="nextTo"/>
        <c:crossAx val="1228788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orders.xlsx]PIVOT!PivotTable2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a:t>
            </a:r>
            <a:r>
              <a:rPr lang="en-US" b="1"/>
              <a: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PIVOT!$A$19:$A$30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PIVOT!$B$19:$B$30</c:f>
              <c:numCache>
                <c:formatCode>General</c:formatCode>
                <c:ptCount val="12"/>
                <c:pt idx="0">
                  <c:v>841111</c:v>
                </c:pt>
                <c:pt idx="1">
                  <c:v>886936</c:v>
                </c:pt>
                <c:pt idx="2">
                  <c:v>892585</c:v>
                </c:pt>
                <c:pt idx="3">
                  <c:v>795128</c:v>
                </c:pt>
                <c:pt idx="4">
                  <c:v>711947</c:v>
                </c:pt>
                <c:pt idx="5">
                  <c:v>902833</c:v>
                </c:pt>
                <c:pt idx="6">
                  <c:v>941707</c:v>
                </c:pt>
                <c:pt idx="7">
                  <c:v>822559</c:v>
                </c:pt>
                <c:pt idx="8">
                  <c:v>846545</c:v>
                </c:pt>
                <c:pt idx="9">
                  <c:v>1001949</c:v>
                </c:pt>
                <c:pt idx="10">
                  <c:v>963972</c:v>
                </c:pt>
                <c:pt idx="11">
                  <c:v>932074</c:v>
                </c:pt>
              </c:numCache>
            </c:numRef>
          </c:val>
          <c:extLst>
            <c:ext xmlns:c16="http://schemas.microsoft.com/office/drawing/2014/chart" uri="{C3380CC4-5D6E-409C-BE32-E72D297353CC}">
              <c16:uniqueId val="{00000000-A39E-494A-A97D-AA58A33DBF4F}"/>
            </c:ext>
          </c:extLst>
        </c:ser>
        <c:dLbls>
          <c:showLegendKey val="0"/>
          <c:showVal val="0"/>
          <c:showCatName val="0"/>
          <c:showSerName val="0"/>
          <c:showPercent val="0"/>
          <c:showBubbleSize val="0"/>
        </c:dLbls>
        <c:gapWidth val="219"/>
        <c:overlap val="-27"/>
        <c:axId val="1228819712"/>
        <c:axId val="1228813952"/>
      </c:barChart>
      <c:catAx>
        <c:axId val="12288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GH"/>
          </a:p>
        </c:txPr>
        <c:crossAx val="1228813952"/>
        <c:crosses val="autoZero"/>
        <c:auto val="1"/>
        <c:lblAlgn val="ctr"/>
        <c:lblOffset val="100"/>
        <c:noMultiLvlLbl val="0"/>
      </c:catAx>
      <c:valAx>
        <c:axId val="1228813952"/>
        <c:scaling>
          <c:orientation val="minMax"/>
        </c:scaling>
        <c:delete val="1"/>
        <c:axPos val="l"/>
        <c:numFmt formatCode="General" sourceLinked="1"/>
        <c:majorTickMark val="none"/>
        <c:minorTickMark val="none"/>
        <c:tickLblPos val="nextTo"/>
        <c:crossAx val="122881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 orders.xlsx]PIVOT!PivotTable4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by </a:t>
            </a:r>
            <a:r>
              <a:rPr lang="en-US" b="1"/>
              <a:t>Quater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3D-4D07-A3DD-0CF9EBC603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3D-4D07-A3DD-0CF9EBC603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3D-4D07-A3DD-0CF9EBC603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3D-4D07-A3DD-0CF9EBC6030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PIVOT!$A$46:$A$49</c:f>
              <c:strCache>
                <c:ptCount val="4"/>
                <c:pt idx="0">
                  <c:v>Q1</c:v>
                </c:pt>
                <c:pt idx="1">
                  <c:v>Q2</c:v>
                </c:pt>
                <c:pt idx="2">
                  <c:v>Q3</c:v>
                </c:pt>
                <c:pt idx="3">
                  <c:v>Q4</c:v>
                </c:pt>
              </c:strCache>
            </c:strRef>
          </c:cat>
          <c:val>
            <c:numRef>
              <c:f>PIVOT!$B$46:$B$49</c:f>
              <c:numCache>
                <c:formatCode>General</c:formatCode>
                <c:ptCount val="4"/>
                <c:pt idx="0">
                  <c:v>2329634</c:v>
                </c:pt>
                <c:pt idx="1">
                  <c:v>2629363</c:v>
                </c:pt>
                <c:pt idx="2">
                  <c:v>2721843</c:v>
                </c:pt>
                <c:pt idx="3">
                  <c:v>2858506</c:v>
                </c:pt>
              </c:numCache>
            </c:numRef>
          </c:val>
          <c:extLst>
            <c:ext xmlns:c16="http://schemas.microsoft.com/office/drawing/2014/chart" uri="{C3380CC4-5D6E-409C-BE32-E72D297353CC}">
              <c16:uniqueId val="{00000008-D43D-4D07-A3DD-0CF9EBC6030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Order by </a:t>
            </a:r>
            <a:r>
              <a:rPr lang="en-US" sz="1400" b="1" i="0" u="none" strike="noStrike" baseline="0">
                <a:solidFill>
                  <a:sysClr val="windowText" lastClr="000000">
                    <a:lumMod val="65000"/>
                    <a:lumOff val="35000"/>
                  </a:sysClr>
                </a:solidFill>
                <a:latin typeface="Calibri" panose="020F0502020204030204"/>
              </a:rPr>
              <a:t>Day</a:t>
            </a:r>
          </a:p>
        </cx:rich>
      </cx:tx>
    </cx:title>
    <cx:plotArea>
      <cx:plotAreaRegion>
        <cx:series layoutId="funnel" uniqueId="{A3C9055C-C4A4-4835-AB52-3D10CDB5063F}">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Gill Sans MT" panose="020B0502020104020203"/>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20</xdr:col>
      <xdr:colOff>200026</xdr:colOff>
      <xdr:row>31</xdr:row>
      <xdr:rowOff>123825</xdr:rowOff>
    </xdr:to>
    <xdr:sp macro="" textlink="">
      <xdr:nvSpPr>
        <xdr:cNvPr id="2" name="Rectangle 1">
          <a:extLst>
            <a:ext uri="{FF2B5EF4-FFF2-40B4-BE49-F238E27FC236}">
              <a16:creationId xmlns:a16="http://schemas.microsoft.com/office/drawing/2014/main" id="{99DD2E56-0F27-7D90-1A57-CCD4ACA8EB0A}"/>
            </a:ext>
          </a:extLst>
        </xdr:cNvPr>
        <xdr:cNvSpPr/>
      </xdr:nvSpPr>
      <xdr:spPr>
        <a:xfrm>
          <a:off x="1219200" y="38100"/>
          <a:ext cx="12392026" cy="5991225"/>
        </a:xfrm>
        <a:prstGeom prst="rect">
          <a:avLst/>
        </a:prstGeom>
        <a:noFill/>
        <a:ln w="381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8</xdr:col>
      <xdr:colOff>76200</xdr:colOff>
      <xdr:row>15</xdr:row>
      <xdr:rowOff>38101</xdr:rowOff>
    </xdr:from>
    <xdr:to>
      <xdr:col>20</xdr:col>
      <xdr:colOff>95249</xdr:colOff>
      <xdr:row>31</xdr:row>
      <xdr:rowOff>9525</xdr:rowOff>
    </xdr:to>
    <xdr:graphicFrame macro="">
      <xdr:nvGraphicFramePr>
        <xdr:cNvPr id="3" name="Chart 2">
          <a:extLst>
            <a:ext uri="{FF2B5EF4-FFF2-40B4-BE49-F238E27FC236}">
              <a16:creationId xmlns:a16="http://schemas.microsoft.com/office/drawing/2014/main" id="{6673CAE6-CA7C-4444-BC4B-5326B2E8F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104775</xdr:colOff>
      <xdr:row>0</xdr:row>
      <xdr:rowOff>119062</xdr:rowOff>
    </xdr:from>
    <xdr:to>
      <xdr:col>16</xdr:col>
      <xdr:colOff>200025</xdr:colOff>
      <xdr:row>15</xdr:row>
      <xdr:rowOff>4762</xdr:rowOff>
    </xdr:to>
    <xdr:graphicFrame macro="">
      <xdr:nvGraphicFramePr>
        <xdr:cNvPr id="4" name="Chart 3">
          <a:extLst>
            <a:ext uri="{FF2B5EF4-FFF2-40B4-BE49-F238E27FC236}">
              <a16:creationId xmlns:a16="http://schemas.microsoft.com/office/drawing/2014/main" id="{8E99E4B2-14CB-4001-8EC1-85119D05F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238125</xdr:colOff>
      <xdr:row>0</xdr:row>
      <xdr:rowOff>119062</xdr:rowOff>
    </xdr:from>
    <xdr:to>
      <xdr:col>20</xdr:col>
      <xdr:colOff>152400</xdr:colOff>
      <xdr:row>15</xdr:row>
      <xdr:rowOff>4762</xdr:rowOff>
    </xdr:to>
    <xdr:graphicFrame macro="">
      <xdr:nvGraphicFramePr>
        <xdr:cNvPr id="5" name="Chart 4">
          <a:extLst>
            <a:ext uri="{FF2B5EF4-FFF2-40B4-BE49-F238E27FC236}">
              <a16:creationId xmlns:a16="http://schemas.microsoft.com/office/drawing/2014/main" id="{68DF5176-85CB-437E-B363-353F24402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104775</xdr:colOff>
      <xdr:row>15</xdr:row>
      <xdr:rowOff>57150</xdr:rowOff>
    </xdr:from>
    <xdr:to>
      <xdr:col>8</xdr:col>
      <xdr:colOff>28575</xdr:colOff>
      <xdr:row>31</xdr:row>
      <xdr:rowOff>19050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DB77B73A-4C00-4C10-8579-A8B38581D5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4775" y="3343275"/>
              <a:ext cx="5410200" cy="3467100"/>
            </a:xfrm>
            <a:prstGeom prst="rect">
              <a:avLst/>
            </a:prstGeom>
            <a:solidFill>
              <a:prstClr val="white"/>
            </a:solidFill>
            <a:ln w="1">
              <a:solidFill>
                <a:prstClr val="green"/>
              </a:solidFill>
            </a:ln>
          </xdr:spPr>
          <xdr:txBody>
            <a:bodyPr vertOverflow="clip" horzOverflow="clip"/>
            <a:lstStyle/>
            <a:p>
              <a:r>
                <a:rPr lang="en-G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66675</xdr:colOff>
      <xdr:row>0</xdr:row>
      <xdr:rowOff>95250</xdr:rowOff>
    </xdr:from>
    <xdr:to>
      <xdr:col>8</xdr:col>
      <xdr:colOff>57150</xdr:colOff>
      <xdr:row>4</xdr:row>
      <xdr:rowOff>38100</xdr:rowOff>
    </xdr:to>
    <xdr:sp macro="" textlink="">
      <xdr:nvSpPr>
        <xdr:cNvPr id="8" name="Rectangle 7">
          <a:extLst>
            <a:ext uri="{FF2B5EF4-FFF2-40B4-BE49-F238E27FC236}">
              <a16:creationId xmlns:a16="http://schemas.microsoft.com/office/drawing/2014/main" id="{835752B5-67E0-D209-4625-44EFD9320E60}"/>
            </a:ext>
          </a:extLst>
        </xdr:cNvPr>
        <xdr:cNvSpPr/>
      </xdr:nvSpPr>
      <xdr:spPr>
        <a:xfrm>
          <a:off x="1285875" y="95250"/>
          <a:ext cx="4867275" cy="7048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0</xdr:col>
      <xdr:colOff>190500</xdr:colOff>
      <xdr:row>0</xdr:row>
      <xdr:rowOff>171450</xdr:rowOff>
    </xdr:from>
    <xdr:to>
      <xdr:col>7</xdr:col>
      <xdr:colOff>285750</xdr:colOff>
      <xdr:row>3</xdr:row>
      <xdr:rowOff>133350</xdr:rowOff>
    </xdr:to>
    <xdr:sp macro="" textlink="">
      <xdr:nvSpPr>
        <xdr:cNvPr id="9" name="TextBox 8">
          <a:extLst>
            <a:ext uri="{FF2B5EF4-FFF2-40B4-BE49-F238E27FC236}">
              <a16:creationId xmlns:a16="http://schemas.microsoft.com/office/drawing/2014/main" id="{95420151-8F36-34E2-E3B8-AE2B87D7CCA8}"/>
            </a:ext>
          </a:extLst>
        </xdr:cNvPr>
        <xdr:cNvSpPr txBox="1"/>
      </xdr:nvSpPr>
      <xdr:spPr>
        <a:xfrm>
          <a:off x="1409700" y="171450"/>
          <a:ext cx="4362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Restaurant Orders</a:t>
          </a:r>
          <a:endParaRPr lang="en-GH" sz="2400" b="1"/>
        </a:p>
      </xdr:txBody>
    </xdr:sp>
    <xdr:clientData/>
  </xdr:twoCellAnchor>
  <xdr:twoCellAnchor editAs="oneCell">
    <xdr:from>
      <xdr:col>0</xdr:col>
      <xdr:colOff>66675</xdr:colOff>
      <xdr:row>4</xdr:row>
      <xdr:rowOff>66675</xdr:rowOff>
    </xdr:from>
    <xdr:to>
      <xdr:col>7</xdr:col>
      <xdr:colOff>142875</xdr:colOff>
      <xdr:row>13</xdr:row>
      <xdr:rowOff>152400</xdr:rowOff>
    </xdr:to>
    <mc:AlternateContent xmlns:mc="http://schemas.openxmlformats.org/markup-compatibility/2006" xmlns:a14="http://schemas.microsoft.com/office/drawing/2010/main">
      <mc:Choice Requires="a14">
        <xdr:graphicFrame macro="">
          <xdr:nvGraphicFramePr>
            <xdr:cNvPr id="11" name="order month">
              <a:extLst>
                <a:ext uri="{FF2B5EF4-FFF2-40B4-BE49-F238E27FC236}">
                  <a16:creationId xmlns:a16="http://schemas.microsoft.com/office/drawing/2014/main" id="{70CB8CCE-1EF8-6A05-77D6-AC55771B9951}"/>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66675" y="942975"/>
              <a:ext cx="4876800" cy="2057400"/>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4595601854" backgroundQuery="1" createdVersion="8" refreshedVersion="8" minRefreshableVersion="3" recordCount="0" supportSubquery="1" supportAdvancedDrill="1" xr:uid="{158D06A1-2365-4C57-B1C0-289B0A870B87}">
  <cacheSource type="external" connectionId="3"/>
  <cacheFields count="3">
    <cacheField name="[Measures].[Sum of order_id]" caption="Sum of order_id" numFmtId="0" hierarchy="17" level="32767"/>
    <cacheField name="[order_details].[Hour].[Hour]" caption="Hour" numFmtId="0" hierarchy="10" level="1">
      <sharedItems containsSemiMixedTypes="0" containsString="0" containsNumber="1" containsInteger="1" minValue="11" maxValue="23" count="13">
        <n v="11"/>
        <n v="12"/>
        <n v="13"/>
        <n v="14"/>
        <n v="15"/>
        <n v="16"/>
        <n v="17"/>
        <n v="18"/>
        <n v="19"/>
        <n v="20"/>
        <n v="21"/>
        <n v="22"/>
        <n v="23"/>
      </sharedItems>
      <extLst>
        <ext xmlns:x15="http://schemas.microsoft.com/office/spreadsheetml/2010/11/main" uri="{4F2E5C28-24EA-4eb8-9CBF-B6C8F9C3D259}">
          <x15:cachedUniqueNames>
            <x15:cachedUniqueName index="0" name="[order_details].[Hour].&amp;[11]"/>
            <x15:cachedUniqueName index="1" name="[order_details].[Hour].&amp;[12]"/>
            <x15:cachedUniqueName index="2" name="[order_details].[Hour].&amp;[13]"/>
            <x15:cachedUniqueName index="3" name="[order_details].[Hour].&amp;[14]"/>
            <x15:cachedUniqueName index="4" name="[order_details].[Hour].&amp;[15]"/>
            <x15:cachedUniqueName index="5" name="[order_details].[Hour].&amp;[16]"/>
            <x15:cachedUniqueName index="6" name="[order_details].[Hour].&amp;[17]"/>
            <x15:cachedUniqueName index="7" name="[order_details].[Hour].&amp;[18]"/>
            <x15:cachedUniqueName index="8" name="[order_details].[Hour].&amp;[19]"/>
            <x15:cachedUniqueName index="9" name="[order_details].[Hour].&amp;[20]"/>
            <x15:cachedUniqueName index="10" name="[order_details].[Hour].&amp;[21]"/>
            <x15:cachedUniqueName index="11" name="[order_details].[Hour].&amp;[22]"/>
            <x15:cachedUniqueName index="12" name="[order_details].[Hour].&amp;[23]"/>
          </x15:cachedUniqueNames>
        </ext>
      </extLst>
    </cacheField>
    <cacheField name="[order_details].[order month].[order month]" caption="order month" numFmtId="0" hierarchy="9" level="1">
      <sharedItems containsSemiMixedTypes="0" containsNonDate="0" containsString="0"/>
    </cacheField>
  </cacheFields>
  <cacheHierarchies count="18">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130" unbalanced="0"/>
    <cacheHierarchy uniqueName="[order_details].[order month]" caption="order month" attribute="1" defaultMemberUniqueName="[order_details].[order month].[All]" allUniqueName="[order_details].[order month].[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2" memberValueDatatype="20" unbalanced="0">
      <fieldsUsage count="2">
        <fieldUsage x="-1"/>
        <fieldUsage x="1"/>
      </fieldsUsage>
    </cacheHierarchy>
    <cacheHierarchy uniqueName="[order_details].[order day name]" caption="order day name" attribute="1" defaultMemberUniqueName="[order_details].[order day name].[All]" allUniqueName="[order_details].[order day name].[All]" dimensionUniqueName="[order_details]" displayFolder="" count="0" memberValueDatatype="130" unbalanced="0"/>
    <cacheHierarchy uniqueName="[order_details].[order quarter]" caption="order quarter" attribute="1" defaultMemberUniqueName="[order_details].[order quarter].[All]" allUniqueName="[order_details].[order quarter].[All]" dimensionUniqueName="[order_details]" displayFolder="" count="0" memberValueDatatype="20" unbalanced="0"/>
    <cacheHierarchy uniqueName="[order_details].[Prefix]" caption="Prefix" attribute="1" defaultMemberUniqueName="[order_details].[Prefix].[All]" allUniqueName="[order_details].[Prefix].[All]" dimensionUniqueName="[order_details]" displayFolder="" count="0" memberValueDatatype="130" unbalanced="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order_id]" caption="Sum of order_id" measure="1" displayFolder="" measureGroup="order_detai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_items" uniqueName="[menu_items]" caption="menu_items"/>
    <dimension name="order_details" uniqueName="[order_details]" caption="order_details"/>
  </dimensions>
  <measureGroups count="2">
    <measureGroup name="menu_items" caption="menu_items"/>
    <measureGroup name="order_details" caption="order_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4596064816" backgroundQuery="1" createdVersion="8" refreshedVersion="8" minRefreshableVersion="3" recordCount="0" supportSubquery="1" supportAdvancedDrill="1" xr:uid="{0846AA66-CCC8-4F69-A992-1FE659C34196}">
  <cacheSource type="external" connectionId="3"/>
  <cacheFields count="2">
    <cacheField name="[Measures].[Sum of order_id]" caption="Sum of order_id" numFmtId="0" hierarchy="17" level="32767"/>
    <cacheField name="[order_details].[order month].[order month]" caption="order month" numFmtId="0" hierarchy="9" level="1">
      <sharedItems count="12">
        <s v="April"/>
        <s v="August"/>
        <s v="December"/>
        <s v="February"/>
        <s v="January"/>
        <s v="July"/>
        <s v="June"/>
        <s v="March"/>
        <s v="May"/>
        <s v="November"/>
        <s v="October"/>
        <s v="September"/>
      </sharedItems>
    </cacheField>
  </cacheFields>
  <cacheHierarchies count="18">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130" unbalanced="0"/>
    <cacheHierarchy uniqueName="[order_details].[order month]" caption="order month" attribute="1" defaultMemberUniqueName="[order_details].[order month].[All]" allUniqueName="[order_details].[order month].[All]" dimensionUniqueName="[order_details]" displayFolder="" count="2" memberValueDatatype="130" unbalanced="0">
      <fieldsUsage count="2">
        <fieldUsage x="-1"/>
        <fieldUsage x="1"/>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 day name]" caption="order day name" attribute="1" defaultMemberUniqueName="[order_details].[order day name].[All]" allUniqueName="[order_details].[order day name].[All]" dimensionUniqueName="[order_details]" displayFolder="" count="0" memberValueDatatype="130" unbalanced="0"/>
    <cacheHierarchy uniqueName="[order_details].[order quarter]" caption="order quarter" attribute="1" defaultMemberUniqueName="[order_details].[order quarter].[All]" allUniqueName="[order_details].[order quarter].[All]" dimensionUniqueName="[order_details]" displayFolder="" count="0" memberValueDatatype="20" unbalanced="0"/>
    <cacheHierarchy uniqueName="[order_details].[Prefix]" caption="Prefix" attribute="1" defaultMemberUniqueName="[order_details].[Prefix].[All]" allUniqueName="[order_details].[Prefix].[All]" dimensionUniqueName="[order_details]" displayFolder="" count="0" memberValueDatatype="130" unbalanced="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order_id]" caption="Sum of order_id" measure="1" displayFolder="" measureGroup="order_detai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_items" uniqueName="[menu_items]" caption="menu_items"/>
    <dimension name="order_details" uniqueName="[order_details]" caption="order_details"/>
  </dimensions>
  <measureGroups count="2">
    <measureGroup name="menu_items" caption="menu_items"/>
    <measureGroup name="order_details" caption="order_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459641204" backgroundQuery="1" createdVersion="8" refreshedVersion="8" minRefreshableVersion="3" recordCount="0" supportSubquery="1" supportAdvancedDrill="1" xr:uid="{A07F5870-52FC-4449-A888-FCDB9DB65807}">
  <cacheSource type="external" connectionId="3"/>
  <cacheFields count="3">
    <cacheField name="[Measures].[Sum of order_id]" caption="Sum of order_id" numFmtId="0" hierarchy="17" level="32767"/>
    <cacheField name="[order_details].[order day name].[order day name]" caption="order day name" numFmtId="0" hierarchy="11" level="1">
      <sharedItems count="7">
        <s v="Friday"/>
        <s v="Monday"/>
        <s v="Saturday"/>
        <s v="Sunday"/>
        <s v="Thursday"/>
        <s v="Tuesday"/>
        <s v="Wednesday"/>
      </sharedItems>
    </cacheField>
    <cacheField name="[order_details].[order month].[order month]" caption="order month" numFmtId="0" hierarchy="9" level="1">
      <sharedItems containsSemiMixedTypes="0" containsNonDate="0" containsString="0"/>
    </cacheField>
  </cacheFields>
  <cacheHierarchies count="18">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130" unbalanced="0"/>
    <cacheHierarchy uniqueName="[order_details].[order month]" caption="order month" attribute="1" defaultMemberUniqueName="[order_details].[order month].[All]" allUniqueName="[order_details].[order month].[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 day name]" caption="order day name" attribute="1" defaultMemberUniqueName="[order_details].[order day name].[All]" allUniqueName="[order_details].[order day name].[All]" dimensionUniqueName="[order_details]" displayFolder="" count="2" memberValueDatatype="130" unbalanced="0">
      <fieldsUsage count="2">
        <fieldUsage x="-1"/>
        <fieldUsage x="1"/>
      </fieldsUsage>
    </cacheHierarchy>
    <cacheHierarchy uniqueName="[order_details].[order quarter]" caption="order quarter" attribute="1" defaultMemberUniqueName="[order_details].[order quarter].[All]" allUniqueName="[order_details].[order quarter].[All]" dimensionUniqueName="[order_details]" displayFolder="" count="0" memberValueDatatype="20" unbalanced="0"/>
    <cacheHierarchy uniqueName="[order_details].[Prefix]" caption="Prefix" attribute="1" defaultMemberUniqueName="[order_details].[Prefix].[All]" allUniqueName="[order_details].[Prefix].[All]" dimensionUniqueName="[order_details]" displayFolder="" count="0" memberValueDatatype="130" unbalanced="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order_id]" caption="Sum of order_id" measure="1" displayFolder="" measureGroup="order_detai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_items" uniqueName="[menu_items]" caption="menu_items"/>
    <dimension name="order_details" uniqueName="[order_details]" caption="order_details"/>
  </dimensions>
  <measureGroups count="2">
    <measureGroup name="menu_items" caption="menu_items"/>
    <measureGroup name="order_details" caption="order_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4596875001" backgroundQuery="1" createdVersion="8" refreshedVersion="8" minRefreshableVersion="3" recordCount="0" supportSubquery="1" supportAdvancedDrill="1" xr:uid="{0C2F3EEF-93D5-4A31-B553-D91E38B0F68A}">
  <cacheSource type="external" connectionId="3"/>
  <cacheFields count="3">
    <cacheField name="[Measures].[Sum of order_id]" caption="Sum of order_id" numFmtId="0" hierarchy="17" level="32767"/>
    <cacheField name="[order_details].[Prefix].[Prefix]" caption="Prefix" numFmtId="0" hierarchy="13" level="1">
      <sharedItems count="4">
        <s v="Q1"/>
        <s v="Q2"/>
        <s v="Q3"/>
        <s v="Q4"/>
      </sharedItems>
    </cacheField>
    <cacheField name="[order_details].[order month].[order month]" caption="order month" numFmtId="0" hierarchy="9" level="1">
      <sharedItems containsSemiMixedTypes="0" containsNonDate="0" containsString="0"/>
    </cacheField>
  </cacheFields>
  <cacheHierarchies count="18">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130" unbalanced="0"/>
    <cacheHierarchy uniqueName="[order_details].[order month]" caption="order month" attribute="1" defaultMemberUniqueName="[order_details].[order month].[All]" allUniqueName="[order_details].[order month].[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 day name]" caption="order day name" attribute="1" defaultMemberUniqueName="[order_details].[order day name].[All]" allUniqueName="[order_details].[order day name].[All]" dimensionUniqueName="[order_details]" displayFolder="" count="0" memberValueDatatype="130" unbalanced="0"/>
    <cacheHierarchy uniqueName="[order_details].[order quarter]" caption="order quarter" attribute="1" defaultMemberUniqueName="[order_details].[order quarter].[All]" allUniqueName="[order_details].[order quarter].[All]" dimensionUniqueName="[order_details]" displayFolder="" count="0" memberValueDatatype="20" unbalanced="0"/>
    <cacheHierarchy uniqueName="[order_details].[Prefix]" caption="Prefix" attribute="1" defaultMemberUniqueName="[order_details].[Prefix].[All]" allUniqueName="[order_details].[Prefix].[All]" dimensionUniqueName="[order_details]" displayFolder="" count="2" memberValueDatatype="130" unbalanced="0">
      <fieldsUsage count="2">
        <fieldUsage x="-1"/>
        <fieldUsage x="1"/>
      </fieldsUsage>
    </cacheHierarchy>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order_id]" caption="Sum of order_id" measure="1" displayFolder="" measureGroup="order_detai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_items" uniqueName="[menu_items]" caption="menu_items"/>
    <dimension name="order_details" uniqueName="[order_details]" caption="order_details"/>
  </dimensions>
  <measureGroups count="2">
    <measureGroup name="menu_items" caption="menu_items"/>
    <measureGroup name="order_details" caption="order_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4597222225" backgroundQuery="1" createdVersion="8" refreshedVersion="8" minRefreshableVersion="3" recordCount="0" supportSubquery="1" supportAdvancedDrill="1" xr:uid="{ADFEF916-43F9-4E1E-8303-7ABE38F2D6E3}">
  <cacheSource type="external" connectionId="3"/>
  <cacheFields count="3">
    <cacheField name="[Measures].[Sum of order_id]" caption="Sum of order_id" numFmtId="0" hierarchy="17" level="32767"/>
    <cacheField name="[menu_items].[item_name].[item_name]" caption="item_name" numFmtId="0" hierarchy="1" level="1">
      <sharedItems containsBlank="1" count="33">
        <s v="California Roll"/>
        <s v="Cheese Lasagna"/>
        <s v="Cheese Quesadillas"/>
        <s v="Cheeseburger"/>
        <s v="Chicken Burrito"/>
        <s v="Chicken Parmesan"/>
        <s v="Chicken Tacos"/>
        <s v="Chicken Torta"/>
        <s v="Chips &amp; Guacamole"/>
        <s v="Chips &amp; Salsa"/>
        <s v="Edamame"/>
        <s v="Eggplant Parmesan"/>
        <s v="Fettuccine Alfredo"/>
        <s v="French Fries"/>
        <s v="Hamburger"/>
        <s v="Hot Dog"/>
        <s v="Korean Beef Bowl"/>
        <s v="Mac &amp; Cheese"/>
        <s v="Meat Lasagna"/>
        <s v="Mushroom Ravioli"/>
        <s v="Orange Chicken"/>
        <s v="Pork Ramen"/>
        <s v="Potstickers"/>
        <s v="Salmon Roll"/>
        <s v="Shrimp Scampi"/>
        <s v="Spaghetti"/>
        <s v="Spaghetti &amp; Meatballs"/>
        <s v="Steak Burrito"/>
        <s v="Steak Tacos"/>
        <s v="Steak Torta"/>
        <s v="Tofu Pad Thai"/>
        <s v="Veggie Burger"/>
        <m/>
      </sharedItems>
    </cacheField>
    <cacheField name="[order_details].[order month].[order month]" caption="order month" numFmtId="0" hierarchy="9" level="1">
      <sharedItems containsSemiMixedTypes="0" containsNonDate="0" containsString="0"/>
    </cacheField>
  </cacheFields>
  <cacheHierarchies count="18">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fieldsUsage count="2">
        <fieldUsage x="-1"/>
        <fieldUsage x="1"/>
      </fieldsUsage>
    </cacheHierarchy>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130" unbalanced="0"/>
    <cacheHierarchy uniqueName="[order_details].[order month]" caption="order month" attribute="1" defaultMemberUniqueName="[order_details].[order month].[All]" allUniqueName="[order_details].[order month].[All]" dimensionUniqueName="[order_details]" displayFolder="" count="2" memberValueDatatype="130" unbalanced="0">
      <fieldsUsage count="2">
        <fieldUsage x="-1"/>
        <fieldUsage x="2"/>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 day name]" caption="order day name" attribute="1" defaultMemberUniqueName="[order_details].[order day name].[All]" allUniqueName="[order_details].[order day name].[All]" dimensionUniqueName="[order_details]" displayFolder="" count="0" memberValueDatatype="130" unbalanced="0"/>
    <cacheHierarchy uniqueName="[order_details].[order quarter]" caption="order quarter" attribute="1" defaultMemberUniqueName="[order_details].[order quarter].[All]" allUniqueName="[order_details].[order quarter].[All]" dimensionUniqueName="[order_details]" displayFolder="" count="0" memberValueDatatype="20" unbalanced="0"/>
    <cacheHierarchy uniqueName="[order_details].[Prefix]" caption="Prefix" attribute="1" defaultMemberUniqueName="[order_details].[Prefix].[All]" allUniqueName="[order_details].[Prefix].[All]" dimensionUniqueName="[order_details]" displayFolder="" count="0" memberValueDatatype="130" unbalanced="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order_id]" caption="Sum of order_id" measure="1" displayFolder="" measureGroup="order_detail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menu_items" uniqueName="[menu_items]" caption="menu_items"/>
    <dimension name="order_details" uniqueName="[order_details]" caption="order_details"/>
  </dimensions>
  <measureGroups count="2">
    <measureGroup name="menu_items" caption="menu_items"/>
    <measureGroup name="order_details" caption="order_detail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ul Rahman" refreshedDate="45909.732526736108" backgroundQuery="1" createdVersion="3" refreshedVersion="8" minRefreshableVersion="3" recordCount="0" supportSubquery="1" supportAdvancedDrill="1" xr:uid="{E66E543E-9762-4080-8654-B07C6D08FB08}">
  <cacheSource type="external" connectionId="3">
    <extLst>
      <ext xmlns:x14="http://schemas.microsoft.com/office/spreadsheetml/2009/9/main" uri="{F057638F-6D5F-4e77-A914-E7F072B9BCA8}">
        <x14:sourceConnection name="ThisWorkbookDataModel"/>
      </ext>
    </extLst>
  </cacheSource>
  <cacheFields count="0"/>
  <cacheHierarchies count="18">
    <cacheHierarchy uniqueName="[menu_items].[menu_item_id]" caption="menu_item_id" attribute="1" defaultMemberUniqueName="[menu_items].[menu_item_id].[All]" allUniqueName="[menu_items].[menu_item_id].[All]" dimensionUniqueName="[menu_items]" displayFolder="" count="0" memberValueDatatype="20" unbalanced="0"/>
    <cacheHierarchy uniqueName="[menu_items].[item_name]" caption="item_name" attribute="1" defaultMemberUniqueName="[menu_items].[item_name].[All]" allUniqueName="[menu_items].[item_name].[All]" dimensionUniqueName="[menu_items]" displayFolder="" count="2" memberValueDatatype="130" unbalanced="0"/>
    <cacheHierarchy uniqueName="[menu_items].[category]" caption="category" attribute="1" defaultMemberUniqueName="[menu_items].[category].[All]" allUniqueName="[menu_items].[category].[All]" dimensionUniqueName="[menu_items]" displayFolder="" count="0" memberValueDatatype="130" unbalanced="0"/>
    <cacheHierarchy uniqueName="[menu_items].[price]" caption="price" attribute="1" defaultMemberUniqueName="[menu_items].[price].[All]" allUniqueName="[menu_items].[price].[All]" dimensionUniqueName="[menu_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130" unbalanced="0"/>
    <cacheHierarchy uniqueName="[order_details].[order month]" caption="order month" attribute="1" defaultMemberUniqueName="[order_details].[order month].[All]" allUniqueName="[order_details].[order month].[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 day name]" caption="order day name" attribute="1" defaultMemberUniqueName="[order_details].[order day name].[All]" allUniqueName="[order_details].[order day name].[All]" dimensionUniqueName="[order_details]" displayFolder="" count="0" memberValueDatatype="130" unbalanced="0"/>
    <cacheHierarchy uniqueName="[order_details].[order quarter]" caption="order quarter" attribute="1" defaultMemberUniqueName="[order_details].[order quarter].[All]" allUniqueName="[order_details].[order quarter].[All]" dimensionUniqueName="[order_details]" displayFolder="" count="0" memberValueDatatype="20" unbalanced="0"/>
    <cacheHierarchy uniqueName="[order_details].[Prefix]" caption="Prefix" attribute="1" defaultMemberUniqueName="[order_details].[Prefix].[All]" allUniqueName="[order_details].[Prefix].[All]" dimensionUniqueName="[order_details]" displayFolder="" count="0" memberValueDatatype="130" unbalanced="0"/>
    <cacheHierarchy uniqueName="[Measures].[__XL_Count menu_items]" caption="__XL_Count menu_items" measure="1" displayFolder="" measureGroup="menu_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order_id]" caption="Sum of order_id" measure="1" displayFolder="" measureGroup="order_detai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993663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7728D6-A4A7-42AF-8F49-366F364E7C6C}" name="PivotTable5" cacheId="4" applyNumberFormats="0" applyBorderFormats="0" applyFontFormats="0" applyPatternFormats="0" applyAlignmentFormats="0" applyWidthHeightFormats="1" dataCaption="Values" tag="a70f17a7-60f7-40b9-abc0-9e8d3ca8c55d" updatedVersion="8" minRefreshableVersion="3" useAutoFormatting="1" rowGrandTotals="0" colGrandTotals="0" itemPrintTitles="1" createdVersion="8" indent="0" outline="1" outlineData="1" multipleFieldFilters="0" chartFormat="1" rowHeaderCaption="item name">
  <location ref="H1:I34" firstHeaderRow="1" firstDataRow="1" firstDataCol="1"/>
  <pivotFields count="3">
    <pivotField dataField="1" subtotalTop="0" showAll="0" defaultSubtotal="0"/>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allDrilled="1" subtotalTop="0" showAll="0" dataSourceSort="1" defaultSubtotal="0" defaultAttributeDrillState="1"/>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Items count="1">
    <i/>
  </colItems>
  <dataFields count="1">
    <dataField name="Sum of order_id" fld="0" baseField="0" baseItem="0"/>
  </dataField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25045-FC94-4558-97AB-D754B279EEC2}" name="PivotTable4" cacheId="3" applyNumberFormats="0" applyBorderFormats="0" applyFontFormats="0" applyPatternFormats="0" applyAlignmentFormats="0" applyWidthHeightFormats="1" dataCaption="Values" tag="74e4e483-b309-4b94-9507-1b26789e5ffe" updatedVersion="8" minRefreshableVersion="3" useAutoFormatting="1" rowGrandTotals="0" colGrandTotals="0" itemPrintTitles="1" createdVersion="8" indent="0" outline="1" outlineData="1" multipleFieldFilters="0" chartFormat="5" rowHeaderCaption="month">
  <location ref="A45:B4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4">
    <i>
      <x/>
    </i>
    <i>
      <x v="1"/>
    </i>
    <i>
      <x v="2"/>
    </i>
    <i>
      <x v="3"/>
    </i>
  </rowItems>
  <colItems count="1">
    <i/>
  </colItems>
  <dataFields count="1">
    <dataField name="Sum of order_id" fld="0"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7FCF46-D8C2-44DD-91BA-9D3926A3AD9D}" name="PivotTable3" cacheId="2" applyNumberFormats="0" applyBorderFormats="0" applyFontFormats="0" applyPatternFormats="0" applyAlignmentFormats="0" applyWidthHeightFormats="1" dataCaption="Values" tag="dfec2c6c-a689-4c22-9a43-8bad5148ebde" updatedVersion="8" minRefreshableVersion="3" useAutoFormatting="1" rowGrandTotals="0" colGrandTotals="0" itemPrintTitles="1" createdVersion="8" indent="0" outline="1" outlineData="1" multipleFieldFilters="0" rowHeaderCaption="month">
  <location ref="A34:B4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Sum of order_id" fld="0" baseField="0" baseItem="0"/>
  </dataField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AE793-2A7F-4BCB-996D-64F8D32587F6}" name="PivotTable2" cacheId="1" applyNumberFormats="0" applyBorderFormats="0" applyFontFormats="0" applyPatternFormats="0" applyAlignmentFormats="0" applyWidthHeightFormats="1" dataCaption="Values" tag="dc2767f4-05e5-4574-8423-e93ccb6fa181" updatedVersion="8" minRefreshableVersion="3" useAutoFormatting="1" rowGrandTotals="0" colGrandTotals="0" itemPrintTitles="1" createdVersion="8" indent="0" outline="1" outlineData="1" multipleFieldFilters="0" chartFormat="4" rowHeaderCaption="month">
  <location ref="A18:B30"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2">
    <i>
      <x/>
    </i>
    <i>
      <x v="1"/>
    </i>
    <i>
      <x v="2"/>
    </i>
    <i>
      <x v="3"/>
    </i>
    <i>
      <x v="4"/>
    </i>
    <i>
      <x v="5"/>
    </i>
    <i>
      <x v="6"/>
    </i>
    <i>
      <x v="7"/>
    </i>
    <i>
      <x v="8"/>
    </i>
    <i>
      <x v="9"/>
    </i>
    <i>
      <x v="10"/>
    </i>
    <i>
      <x v="11"/>
    </i>
  </rowItems>
  <colItems count="1">
    <i/>
  </colItems>
  <dataFields count="1">
    <dataField name="Sum of order_id"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8BC8D6-1487-4CF3-9658-0191D675431C}" name="PivotTable1" cacheId="0" applyNumberFormats="0" applyBorderFormats="0" applyFontFormats="0" applyPatternFormats="0" applyAlignmentFormats="0" applyWidthHeightFormats="1" dataCaption="Values" tag="95747ccf-2156-44f5-91c5-2c9213769e37" updatedVersion="8" minRefreshableVersion="3" useAutoFormatting="1" rowGrandTotals="0" colGrandTotals="0" itemPrintTitles="1" createdVersion="8" indent="0" outline="1" outlineData="1" multipleFieldFilters="0" chartFormat="1" rowHeaderCaption="hour">
  <location ref="A1:B14" firstHeaderRow="1" firstDataRow="1" firstDataCol="1"/>
  <pivotFields count="3">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x v="12"/>
    </i>
  </rowItems>
  <colItems count="1">
    <i/>
  </colItems>
  <dataFields count="1">
    <dataField name="Sum of order_id" fld="0" baseField="0" baseItem="0"/>
  </dataField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E1B5A038-ECE1-4826-9826-C9510F648672}" sourceName="[order_details].[order month]">
  <pivotTables>
    <pivotTable tabId="1" name="PivotTable1"/>
    <pivotTable tabId="1" name="PivotTable2"/>
    <pivotTable tabId="1" name="PivotTable3"/>
    <pivotTable tabId="1" name="PivotTable4"/>
    <pivotTable tabId="1" name="PivotTable5"/>
  </pivotTables>
  <data>
    <olap pivotCacheId="299366337">
      <levels count="2">
        <level uniqueName="[order_details].[order month].[(All)]" sourceCaption="(All)" count="0"/>
        <level uniqueName="[order_details].[order month].[order month]" sourceCaption="order month" count="12">
          <ranges>
            <range startItem="0">
              <i n="[order_details].[order month].&amp;[April]" c="April"/>
              <i n="[order_details].[order month].&amp;[August]" c="August"/>
              <i n="[order_details].[order month].&amp;[December]" c="December"/>
              <i n="[order_details].[order month].&amp;[February]" c="February"/>
              <i n="[order_details].[order month].&amp;[January]" c="January"/>
              <i n="[order_details].[order month].&amp;[July]" c="July"/>
              <i n="[order_details].[order month].&amp;[June]" c="June"/>
              <i n="[order_details].[order month].&amp;[March]" c="March"/>
              <i n="[order_details].[order month].&amp;[May]" c="May"/>
              <i n="[order_details].[order month].&amp;[November]" c="November"/>
              <i n="[order_details].[order month].&amp;[October]" c="October"/>
              <i n="[order_details].[order month].&amp;[September]" c="September"/>
            </range>
          </ranges>
        </level>
      </levels>
      <selections count="1">
        <selection n="[order_details].[order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BB0BC121-63C2-4D51-9C50-57F02040992A}" cache="Slicer_order_month" caption="select your month" startItem="6" level="1"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Gill Sans MT">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676C2-D7A4-495D-963D-62D336347C4B}">
  <dimension ref="A1:K49"/>
  <sheetViews>
    <sheetView zoomScale="98" zoomScaleNormal="98" workbookViewId="0">
      <selection activeCell="J5" sqref="J5"/>
    </sheetView>
  </sheetViews>
  <sheetFormatPr defaultRowHeight="17.25" x14ac:dyDescent="0.35"/>
  <cols>
    <col min="1" max="1" width="8.75" bestFit="1" customWidth="1"/>
    <col min="2" max="2" width="15.375" bestFit="1" customWidth="1"/>
    <col min="8" max="8" width="17.125" bestFit="1" customWidth="1"/>
    <col min="9" max="9" width="15.375" bestFit="1" customWidth="1"/>
  </cols>
  <sheetData>
    <row r="1" spans="1:11" x14ac:dyDescent="0.35">
      <c r="A1" s="1" t="s">
        <v>56</v>
      </c>
      <c r="B1" t="s">
        <v>55</v>
      </c>
      <c r="H1" s="1" t="s">
        <v>59</v>
      </c>
      <c r="I1" t="s">
        <v>55</v>
      </c>
    </row>
    <row r="2" spans="1:11" x14ac:dyDescent="0.35">
      <c r="A2" s="2">
        <v>11</v>
      </c>
      <c r="B2">
        <v>519440</v>
      </c>
      <c r="C2">
        <f>A2</f>
        <v>11</v>
      </c>
      <c r="D2">
        <f>B2</f>
        <v>519440</v>
      </c>
      <c r="H2" s="2" t="s">
        <v>10</v>
      </c>
      <c r="I2">
        <v>265716</v>
      </c>
      <c r="J2" t="str">
        <f>H2</f>
        <v>California Roll</v>
      </c>
      <c r="K2">
        <f>I2</f>
        <v>265716</v>
      </c>
    </row>
    <row r="3" spans="1:11" x14ac:dyDescent="0.35">
      <c r="A3" s="2">
        <v>12</v>
      </c>
      <c r="B3">
        <v>1545643</v>
      </c>
      <c r="C3">
        <f t="shared" ref="C3:C14" si="0">A3</f>
        <v>12</v>
      </c>
      <c r="D3">
        <f t="shared" ref="D3:D14" si="1">B3</f>
        <v>1545643</v>
      </c>
      <c r="H3" s="2" t="s">
        <v>27</v>
      </c>
      <c r="I3">
        <v>170663</v>
      </c>
      <c r="J3" t="str">
        <f t="shared" ref="J3:J33" si="2">H3</f>
        <v>Cheese Lasagna</v>
      </c>
      <c r="K3">
        <f t="shared" ref="K3:K33" si="3">I3</f>
        <v>170663</v>
      </c>
    </row>
    <row r="4" spans="1:11" x14ac:dyDescent="0.35">
      <c r="A4" s="2">
        <v>13</v>
      </c>
      <c r="B4">
        <v>1320417</v>
      </c>
      <c r="C4">
        <f t="shared" si="0"/>
        <v>13</v>
      </c>
      <c r="D4">
        <f t="shared" si="1"/>
        <v>1320417</v>
      </c>
      <c r="H4" s="2" t="s">
        <v>20</v>
      </c>
      <c r="I4">
        <v>178661</v>
      </c>
      <c r="J4" t="str">
        <f t="shared" si="2"/>
        <v>Cheese Quesadillas</v>
      </c>
      <c r="K4">
        <f t="shared" si="3"/>
        <v>178661</v>
      </c>
    </row>
    <row r="5" spans="1:11" x14ac:dyDescent="0.35">
      <c r="A5" s="2">
        <v>14</v>
      </c>
      <c r="B5">
        <v>920799</v>
      </c>
      <c r="C5">
        <f t="shared" si="0"/>
        <v>14</v>
      </c>
      <c r="D5">
        <f t="shared" si="1"/>
        <v>920799</v>
      </c>
      <c r="H5" s="2" t="s">
        <v>1</v>
      </c>
      <c r="I5">
        <v>480393</v>
      </c>
      <c r="J5" t="str">
        <f t="shared" si="2"/>
        <v>Cheeseburger</v>
      </c>
      <c r="K5">
        <f t="shared" si="3"/>
        <v>480393</v>
      </c>
    </row>
    <row r="6" spans="1:11" x14ac:dyDescent="0.35">
      <c r="A6" s="2">
        <v>15</v>
      </c>
      <c r="B6">
        <v>718951</v>
      </c>
      <c r="C6">
        <f t="shared" si="0"/>
        <v>15</v>
      </c>
      <c r="D6">
        <f t="shared" si="1"/>
        <v>718951</v>
      </c>
      <c r="H6" s="2" t="s">
        <v>16</v>
      </c>
      <c r="I6">
        <v>381511</v>
      </c>
      <c r="J6" t="str">
        <f t="shared" si="2"/>
        <v>Chicken Burrito</v>
      </c>
      <c r="K6">
        <f t="shared" si="3"/>
        <v>381511</v>
      </c>
    </row>
    <row r="7" spans="1:11" x14ac:dyDescent="0.35">
      <c r="A7" s="2">
        <v>16</v>
      </c>
      <c r="B7">
        <v>874435</v>
      </c>
      <c r="C7">
        <f t="shared" si="0"/>
        <v>16</v>
      </c>
      <c r="D7">
        <f t="shared" si="1"/>
        <v>874435</v>
      </c>
      <c r="H7" s="2" t="s">
        <v>30</v>
      </c>
      <c r="I7">
        <v>312114</v>
      </c>
      <c r="J7" t="str">
        <f t="shared" si="2"/>
        <v>Chicken Parmesan</v>
      </c>
      <c r="K7">
        <f t="shared" si="3"/>
        <v>312114</v>
      </c>
    </row>
    <row r="8" spans="1:11" x14ac:dyDescent="0.35">
      <c r="A8" s="2">
        <v>17</v>
      </c>
      <c r="B8">
        <v>1218625</v>
      </c>
      <c r="C8">
        <f t="shared" si="0"/>
        <v>17</v>
      </c>
      <c r="D8">
        <f t="shared" si="1"/>
        <v>1218625</v>
      </c>
      <c r="H8" s="2" t="s">
        <v>14</v>
      </c>
      <c r="I8">
        <v>145710</v>
      </c>
      <c r="J8" t="str">
        <f t="shared" si="2"/>
        <v>Chicken Tacos</v>
      </c>
      <c r="K8">
        <f t="shared" si="3"/>
        <v>145710</v>
      </c>
    </row>
    <row r="9" spans="1:11" x14ac:dyDescent="0.35">
      <c r="A9" s="2">
        <v>18</v>
      </c>
      <c r="B9">
        <v>1166932</v>
      </c>
      <c r="C9">
        <f t="shared" si="0"/>
        <v>18</v>
      </c>
      <c r="D9">
        <f t="shared" si="1"/>
        <v>1166932</v>
      </c>
      <c r="H9" s="2" t="s">
        <v>18</v>
      </c>
      <c r="I9">
        <v>366347</v>
      </c>
      <c r="J9" t="str">
        <f t="shared" si="2"/>
        <v>Chicken Torta</v>
      </c>
      <c r="K9">
        <f t="shared" si="3"/>
        <v>366347</v>
      </c>
    </row>
    <row r="10" spans="1:11" x14ac:dyDescent="0.35">
      <c r="A10" s="2">
        <v>19</v>
      </c>
      <c r="B10">
        <v>783273</v>
      </c>
      <c r="C10">
        <f t="shared" si="0"/>
        <v>19</v>
      </c>
      <c r="D10">
        <f t="shared" si="1"/>
        <v>783273</v>
      </c>
      <c r="H10" s="2" t="s">
        <v>22</v>
      </c>
      <c r="I10">
        <v>180537</v>
      </c>
      <c r="J10" t="str">
        <f t="shared" si="2"/>
        <v>Chips &amp; Guacamole</v>
      </c>
      <c r="K10">
        <f t="shared" si="3"/>
        <v>180537</v>
      </c>
    </row>
    <row r="11" spans="1:11" x14ac:dyDescent="0.35">
      <c r="A11" s="2">
        <v>20</v>
      </c>
      <c r="B11">
        <v>762563</v>
      </c>
      <c r="C11">
        <f t="shared" si="0"/>
        <v>20</v>
      </c>
      <c r="D11">
        <f t="shared" si="1"/>
        <v>762563</v>
      </c>
      <c r="H11" s="2" t="s">
        <v>21</v>
      </c>
      <c r="I11">
        <v>400023</v>
      </c>
      <c r="J11" t="str">
        <f t="shared" si="2"/>
        <v>Chips &amp; Salsa</v>
      </c>
      <c r="K11">
        <f t="shared" si="3"/>
        <v>400023</v>
      </c>
    </row>
    <row r="12" spans="1:11" x14ac:dyDescent="0.35">
      <c r="A12" s="2">
        <v>21</v>
      </c>
      <c r="B12">
        <v>453953</v>
      </c>
      <c r="C12">
        <f t="shared" si="0"/>
        <v>21</v>
      </c>
      <c r="D12">
        <f t="shared" si="1"/>
        <v>453953</v>
      </c>
      <c r="H12" s="2" t="s">
        <v>12</v>
      </c>
      <c r="I12">
        <v>475205</v>
      </c>
      <c r="J12" t="str">
        <f t="shared" si="2"/>
        <v>Edamame</v>
      </c>
      <c r="K12">
        <f t="shared" si="3"/>
        <v>475205</v>
      </c>
    </row>
    <row r="13" spans="1:11" x14ac:dyDescent="0.35">
      <c r="A13" s="2">
        <v>22</v>
      </c>
      <c r="B13">
        <v>242504</v>
      </c>
      <c r="C13">
        <f t="shared" si="0"/>
        <v>22</v>
      </c>
      <c r="D13">
        <f t="shared" si="1"/>
        <v>242504</v>
      </c>
      <c r="H13" s="2" t="s">
        <v>31</v>
      </c>
      <c r="I13">
        <v>373867</v>
      </c>
      <c r="J13" t="str">
        <f t="shared" si="2"/>
        <v>Eggplant Parmesan</v>
      </c>
      <c r="K13">
        <f t="shared" si="3"/>
        <v>373867</v>
      </c>
    </row>
    <row r="14" spans="1:11" x14ac:dyDescent="0.35">
      <c r="A14" s="2">
        <v>23</v>
      </c>
      <c r="B14">
        <v>11811</v>
      </c>
      <c r="C14">
        <f t="shared" si="0"/>
        <v>23</v>
      </c>
      <c r="D14">
        <f t="shared" si="1"/>
        <v>11811</v>
      </c>
      <c r="H14" s="2" t="s">
        <v>25</v>
      </c>
      <c r="I14">
        <v>231184</v>
      </c>
      <c r="J14" t="str">
        <f t="shared" si="2"/>
        <v>Fettuccine Alfredo</v>
      </c>
      <c r="K14">
        <f t="shared" si="3"/>
        <v>231184</v>
      </c>
    </row>
    <row r="15" spans="1:11" x14ac:dyDescent="0.35">
      <c r="H15" s="2" t="s">
        <v>5</v>
      </c>
      <c r="I15">
        <v>468188</v>
      </c>
      <c r="J15" t="str">
        <f t="shared" si="2"/>
        <v>French Fries</v>
      </c>
      <c r="K15">
        <f t="shared" si="3"/>
        <v>468188</v>
      </c>
    </row>
    <row r="16" spans="1:11" x14ac:dyDescent="0.35">
      <c r="H16" s="2" t="s">
        <v>0</v>
      </c>
      <c r="I16">
        <v>574345</v>
      </c>
      <c r="J16" t="str">
        <f t="shared" si="2"/>
        <v>Hamburger</v>
      </c>
      <c r="K16">
        <f t="shared" si="3"/>
        <v>574345</v>
      </c>
    </row>
    <row r="17" spans="1:11" x14ac:dyDescent="0.35">
      <c r="H17" s="2" t="s">
        <v>2</v>
      </c>
      <c r="I17">
        <v>241210</v>
      </c>
      <c r="J17" t="str">
        <f t="shared" si="2"/>
        <v>Hot Dog</v>
      </c>
      <c r="K17">
        <f t="shared" si="3"/>
        <v>241210</v>
      </c>
    </row>
    <row r="18" spans="1:11" x14ac:dyDescent="0.35">
      <c r="A18" s="1" t="s">
        <v>57</v>
      </c>
      <c r="B18" t="s">
        <v>55</v>
      </c>
      <c r="H18" s="2" t="s">
        <v>8</v>
      </c>
      <c r="I18">
        <v>554402</v>
      </c>
      <c r="J18" t="str">
        <f t="shared" si="2"/>
        <v>Korean Beef Bowl</v>
      </c>
      <c r="K18">
        <f t="shared" si="3"/>
        <v>554402</v>
      </c>
    </row>
    <row r="19" spans="1:11" x14ac:dyDescent="0.35">
      <c r="A19" s="2" t="s">
        <v>38</v>
      </c>
      <c r="B19">
        <v>841111</v>
      </c>
      <c r="C19" t="str">
        <f>A19</f>
        <v>April</v>
      </c>
      <c r="D19">
        <f>B19</f>
        <v>841111</v>
      </c>
      <c r="H19" s="2" t="s">
        <v>4</v>
      </c>
      <c r="I19">
        <v>459083</v>
      </c>
      <c r="J19" t="str">
        <f t="shared" si="2"/>
        <v>Mac &amp; Cheese</v>
      </c>
      <c r="K19">
        <f t="shared" si="3"/>
        <v>459083</v>
      </c>
    </row>
    <row r="20" spans="1:11" x14ac:dyDescent="0.35">
      <c r="A20" s="2" t="s">
        <v>47</v>
      </c>
      <c r="B20">
        <v>886936</v>
      </c>
      <c r="C20" t="str">
        <f t="shared" ref="C20:D30" si="4">A20</f>
        <v>August</v>
      </c>
      <c r="D20">
        <f t="shared" si="4"/>
        <v>886936</v>
      </c>
      <c r="H20" s="2" t="s">
        <v>26</v>
      </c>
      <c r="I20">
        <v>235204</v>
      </c>
      <c r="J20" t="str">
        <f t="shared" si="2"/>
        <v>Meat Lasagna</v>
      </c>
      <c r="K20">
        <f t="shared" si="3"/>
        <v>235204</v>
      </c>
    </row>
    <row r="21" spans="1:11" x14ac:dyDescent="0.35">
      <c r="A21" s="2" t="s">
        <v>54</v>
      </c>
      <c r="B21">
        <v>892585</v>
      </c>
      <c r="C21" t="str">
        <f t="shared" si="4"/>
        <v>December</v>
      </c>
      <c r="D21">
        <f t="shared" si="4"/>
        <v>892585</v>
      </c>
      <c r="H21" s="2" t="s">
        <v>28</v>
      </c>
      <c r="I21">
        <v>321085</v>
      </c>
      <c r="J21" t="str">
        <f t="shared" si="2"/>
        <v>Mushroom Ravioli</v>
      </c>
      <c r="K21">
        <f t="shared" si="3"/>
        <v>321085</v>
      </c>
    </row>
    <row r="22" spans="1:11" x14ac:dyDescent="0.35">
      <c r="A22" s="2" t="s">
        <v>35</v>
      </c>
      <c r="B22">
        <v>795128</v>
      </c>
      <c r="C22" t="str">
        <f t="shared" si="4"/>
        <v>February</v>
      </c>
      <c r="D22">
        <f t="shared" si="4"/>
        <v>795128</v>
      </c>
      <c r="H22" s="2" t="s">
        <v>6</v>
      </c>
      <c r="I22">
        <v>380509</v>
      </c>
      <c r="J22" t="str">
        <f t="shared" si="2"/>
        <v>Orange Chicken</v>
      </c>
      <c r="K22">
        <f t="shared" si="3"/>
        <v>380509</v>
      </c>
    </row>
    <row r="23" spans="1:11" x14ac:dyDescent="0.35">
      <c r="A23" s="2" t="s">
        <v>32</v>
      </c>
      <c r="B23">
        <v>711947</v>
      </c>
      <c r="C23" t="str">
        <f t="shared" si="4"/>
        <v>January</v>
      </c>
      <c r="D23">
        <f t="shared" si="4"/>
        <v>711947</v>
      </c>
      <c r="H23" s="2" t="s">
        <v>9</v>
      </c>
      <c r="I23">
        <v>317586</v>
      </c>
      <c r="J23" t="str">
        <f t="shared" si="2"/>
        <v>Pork Ramen</v>
      </c>
      <c r="K23">
        <f t="shared" si="3"/>
        <v>317586</v>
      </c>
    </row>
    <row r="24" spans="1:11" x14ac:dyDescent="0.35">
      <c r="A24" s="2" t="s">
        <v>45</v>
      </c>
      <c r="B24">
        <v>902833</v>
      </c>
      <c r="C24" t="str">
        <f t="shared" si="4"/>
        <v>July</v>
      </c>
      <c r="D24">
        <f t="shared" si="4"/>
        <v>902833</v>
      </c>
      <c r="H24" s="2" t="s">
        <v>13</v>
      </c>
      <c r="I24">
        <v>156179</v>
      </c>
      <c r="J24" t="str">
        <f t="shared" si="2"/>
        <v>Potstickers</v>
      </c>
      <c r="K24">
        <f t="shared" si="3"/>
        <v>156179</v>
      </c>
    </row>
    <row r="25" spans="1:11" x14ac:dyDescent="0.35">
      <c r="A25" s="2" t="s">
        <v>43</v>
      </c>
      <c r="B25">
        <v>941707</v>
      </c>
      <c r="C25" t="str">
        <f t="shared" si="4"/>
        <v>June</v>
      </c>
      <c r="D25">
        <f t="shared" si="4"/>
        <v>941707</v>
      </c>
      <c r="H25" s="2" t="s">
        <v>11</v>
      </c>
      <c r="I25">
        <v>290628</v>
      </c>
      <c r="J25" t="str">
        <f t="shared" si="2"/>
        <v>Salmon Roll</v>
      </c>
      <c r="K25">
        <f t="shared" si="3"/>
        <v>290628</v>
      </c>
    </row>
    <row r="26" spans="1:11" x14ac:dyDescent="0.35">
      <c r="A26" s="2" t="s">
        <v>37</v>
      </c>
      <c r="B26">
        <v>822559</v>
      </c>
      <c r="C26" t="str">
        <f t="shared" si="4"/>
        <v>March</v>
      </c>
      <c r="D26">
        <f t="shared" si="4"/>
        <v>822559</v>
      </c>
      <c r="H26" s="2" t="s">
        <v>29</v>
      </c>
      <c r="I26">
        <v>213362</v>
      </c>
      <c r="J26" t="str">
        <f t="shared" si="2"/>
        <v>Shrimp Scampi</v>
      </c>
      <c r="K26">
        <f t="shared" si="3"/>
        <v>213362</v>
      </c>
    </row>
    <row r="27" spans="1:11" x14ac:dyDescent="0.35">
      <c r="A27" s="2" t="s">
        <v>41</v>
      </c>
      <c r="B27">
        <v>846545</v>
      </c>
      <c r="C27" t="str">
        <f t="shared" si="4"/>
        <v>May</v>
      </c>
      <c r="D27">
        <f t="shared" si="4"/>
        <v>846545</v>
      </c>
      <c r="H27" s="2" t="s">
        <v>23</v>
      </c>
      <c r="I27">
        <v>330193</v>
      </c>
      <c r="J27" t="str">
        <f t="shared" si="2"/>
        <v>Spaghetti</v>
      </c>
      <c r="K27">
        <f t="shared" si="3"/>
        <v>330193</v>
      </c>
    </row>
    <row r="28" spans="1:11" x14ac:dyDescent="0.35">
      <c r="A28" s="2" t="s">
        <v>53</v>
      </c>
      <c r="B28">
        <v>1001949</v>
      </c>
      <c r="C28" t="str">
        <f t="shared" si="4"/>
        <v>November</v>
      </c>
      <c r="D28">
        <f t="shared" si="4"/>
        <v>1001949</v>
      </c>
      <c r="H28" s="2" t="s">
        <v>24</v>
      </c>
      <c r="I28">
        <v>441661</v>
      </c>
      <c r="J28" t="str">
        <f t="shared" si="2"/>
        <v>Spaghetti &amp; Meatballs</v>
      </c>
      <c r="K28">
        <f t="shared" si="3"/>
        <v>441661</v>
      </c>
    </row>
    <row r="29" spans="1:11" x14ac:dyDescent="0.35">
      <c r="A29" s="2" t="s">
        <v>51</v>
      </c>
      <c r="B29">
        <v>963972</v>
      </c>
      <c r="C29" t="str">
        <f t="shared" si="4"/>
        <v>October</v>
      </c>
      <c r="D29">
        <f t="shared" si="4"/>
        <v>963972</v>
      </c>
      <c r="H29" s="2" t="s">
        <v>17</v>
      </c>
      <c r="I29">
        <v>267125</v>
      </c>
      <c r="J29" t="str">
        <f t="shared" si="2"/>
        <v>Steak Burrito</v>
      </c>
      <c r="K29">
        <f t="shared" si="3"/>
        <v>267125</v>
      </c>
    </row>
    <row r="30" spans="1:11" x14ac:dyDescent="0.35">
      <c r="A30" s="2" t="s">
        <v>49</v>
      </c>
      <c r="B30">
        <v>932074</v>
      </c>
      <c r="C30" t="str">
        <f t="shared" si="4"/>
        <v>September</v>
      </c>
      <c r="D30">
        <f t="shared" si="4"/>
        <v>932074</v>
      </c>
      <c r="H30" s="2" t="s">
        <v>15</v>
      </c>
      <c r="I30">
        <v>195076</v>
      </c>
      <c r="J30" t="str">
        <f t="shared" si="2"/>
        <v>Steak Tacos</v>
      </c>
      <c r="K30">
        <f t="shared" si="3"/>
        <v>195076</v>
      </c>
    </row>
    <row r="31" spans="1:11" x14ac:dyDescent="0.35">
      <c r="H31" s="2" t="s">
        <v>19</v>
      </c>
      <c r="I31">
        <v>377866</v>
      </c>
      <c r="J31" t="str">
        <f t="shared" si="2"/>
        <v>Steak Torta</v>
      </c>
      <c r="K31">
        <f t="shared" si="3"/>
        <v>377866</v>
      </c>
    </row>
    <row r="32" spans="1:11" x14ac:dyDescent="0.35">
      <c r="H32" s="2" t="s">
        <v>7</v>
      </c>
      <c r="I32">
        <v>494679</v>
      </c>
      <c r="J32" t="str">
        <f t="shared" si="2"/>
        <v>Tofu Pad Thai</v>
      </c>
      <c r="K32">
        <f t="shared" si="3"/>
        <v>494679</v>
      </c>
    </row>
    <row r="33" spans="1:11" x14ac:dyDescent="0.35">
      <c r="H33" s="2" t="s">
        <v>3</v>
      </c>
      <c r="I33">
        <v>179323</v>
      </c>
      <c r="J33" t="str">
        <f t="shared" si="2"/>
        <v>Veggie Burger</v>
      </c>
      <c r="K33">
        <f t="shared" si="3"/>
        <v>179323</v>
      </c>
    </row>
    <row r="34" spans="1:11" x14ac:dyDescent="0.35">
      <c r="A34" s="1" t="s">
        <v>57</v>
      </c>
      <c r="B34" t="s">
        <v>55</v>
      </c>
      <c r="H34" s="2" t="s">
        <v>58</v>
      </c>
      <c r="I34">
        <v>79711</v>
      </c>
    </row>
    <row r="35" spans="1:11" x14ac:dyDescent="0.35">
      <c r="A35" s="2" t="s">
        <v>50</v>
      </c>
      <c r="B35">
        <v>2016484</v>
      </c>
      <c r="C35" t="str">
        <f>A35</f>
        <v>Friday</v>
      </c>
      <c r="D35">
        <f>B35</f>
        <v>2016484</v>
      </c>
    </row>
    <row r="36" spans="1:11" x14ac:dyDescent="0.35">
      <c r="A36" s="2" t="s">
        <v>42</v>
      </c>
      <c r="B36">
        <v>1765014</v>
      </c>
      <c r="C36" t="str">
        <f t="shared" ref="C36:C41" si="5">A36</f>
        <v>Monday</v>
      </c>
      <c r="D36">
        <f t="shared" ref="D36:D41" si="6">B36</f>
        <v>1765014</v>
      </c>
    </row>
    <row r="37" spans="1:11" x14ac:dyDescent="0.35">
      <c r="A37" s="2" t="s">
        <v>39</v>
      </c>
      <c r="B37">
        <v>1279850</v>
      </c>
      <c r="C37" t="str">
        <f t="shared" si="5"/>
        <v>Saturday</v>
      </c>
      <c r="D37">
        <f t="shared" si="6"/>
        <v>1279850</v>
      </c>
    </row>
    <row r="38" spans="1:11" x14ac:dyDescent="0.35">
      <c r="A38" s="2" t="s">
        <v>33</v>
      </c>
      <c r="B38">
        <v>1710463</v>
      </c>
      <c r="C38" t="str">
        <f t="shared" si="5"/>
        <v>Sunday</v>
      </c>
      <c r="D38">
        <f t="shared" si="6"/>
        <v>1710463</v>
      </c>
    </row>
    <row r="39" spans="1:11" x14ac:dyDescent="0.35">
      <c r="A39" s="2" t="s">
        <v>44</v>
      </c>
      <c r="B39">
        <v>1543390</v>
      </c>
      <c r="C39" t="str">
        <f t="shared" si="5"/>
        <v>Thursday</v>
      </c>
      <c r="D39">
        <f t="shared" si="6"/>
        <v>1543390</v>
      </c>
    </row>
    <row r="40" spans="1:11" x14ac:dyDescent="0.35">
      <c r="A40" s="2" t="s">
        <v>48</v>
      </c>
      <c r="B40">
        <v>1293810</v>
      </c>
      <c r="C40" t="str">
        <f t="shared" si="5"/>
        <v>Tuesday</v>
      </c>
      <c r="D40">
        <f t="shared" si="6"/>
        <v>1293810</v>
      </c>
    </row>
    <row r="41" spans="1:11" x14ac:dyDescent="0.35">
      <c r="A41" s="2" t="s">
        <v>36</v>
      </c>
      <c r="B41">
        <v>930335</v>
      </c>
      <c r="C41" t="str">
        <f t="shared" si="5"/>
        <v>Wednesday</v>
      </c>
      <c r="D41">
        <f t="shared" si="6"/>
        <v>930335</v>
      </c>
    </row>
    <row r="45" spans="1:11" x14ac:dyDescent="0.35">
      <c r="A45" s="1" t="s">
        <v>57</v>
      </c>
      <c r="B45" t="s">
        <v>55</v>
      </c>
    </row>
    <row r="46" spans="1:11" x14ac:dyDescent="0.35">
      <c r="A46" s="2" t="s">
        <v>34</v>
      </c>
      <c r="B46">
        <v>2329634</v>
      </c>
    </row>
    <row r="47" spans="1:11" x14ac:dyDescent="0.35">
      <c r="A47" s="2" t="s">
        <v>40</v>
      </c>
      <c r="B47">
        <v>2629363</v>
      </c>
    </row>
    <row r="48" spans="1:11" x14ac:dyDescent="0.35">
      <c r="A48" s="2" t="s">
        <v>46</v>
      </c>
      <c r="B48">
        <v>2721843</v>
      </c>
    </row>
    <row r="49" spans="1:2" x14ac:dyDescent="0.35">
      <c r="A49" s="2" t="s">
        <v>52</v>
      </c>
      <c r="B49">
        <v>2858506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B402D-E106-4BF7-B4EE-6E46846F4B53}">
  <dimension ref="A1"/>
  <sheetViews>
    <sheetView showGridLines="0" tabSelected="1" zoomScale="98" zoomScaleNormal="98" workbookViewId="0">
      <selection activeCell="V8" sqref="V8"/>
    </sheetView>
  </sheetViews>
  <sheetFormatPr defaultRowHeight="17.2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FCD77D3-FFFA-481C-A066-91C96EFFE6F3}">
  <ds:schemaRefs/>
</ds:datastoreItem>
</file>

<file path=customXml/itemProps2.xml><?xml version="1.0" encoding="utf-8"?>
<ds:datastoreItem xmlns:ds="http://schemas.openxmlformats.org/officeDocument/2006/customXml" ds:itemID="{726FC8B8-E250-4AF2-8AF8-AA939BE6514A}">
  <ds:schemaRefs/>
</ds:datastoreItem>
</file>

<file path=customXml/itemProps3.xml><?xml version="1.0" encoding="utf-8"?>
<ds:datastoreItem xmlns:ds="http://schemas.openxmlformats.org/officeDocument/2006/customXml" ds:itemID="{EE7A3B61-6CEC-4D77-B748-C8D4D9D8C5F1}">
  <ds:schemaRefs>
    <ds:schemaRef ds:uri="http://schemas.microsoft.com/DataMashup"/>
  </ds:schemaRefs>
</ds:datastoreItem>
</file>

<file path=customXml/itemProps4.xml><?xml version="1.0" encoding="utf-8"?>
<ds:datastoreItem xmlns:ds="http://schemas.openxmlformats.org/officeDocument/2006/customXml" ds:itemID="{38D8F9FB-D9C5-49A5-B9C6-E4B15AF65BC8}">
  <ds:schemaRefs/>
</ds:datastoreItem>
</file>

<file path=customXml/itemProps5.xml><?xml version="1.0" encoding="utf-8"?>
<ds:datastoreItem xmlns:ds="http://schemas.openxmlformats.org/officeDocument/2006/customXml" ds:itemID="{9B0F251E-66D6-4576-8854-076DD2177B48}">
  <ds:schemaRefs/>
</ds:datastoreItem>
</file>

<file path=customXml/itemProps6.xml><?xml version="1.0" encoding="utf-8"?>
<ds:datastoreItem xmlns:ds="http://schemas.openxmlformats.org/officeDocument/2006/customXml" ds:itemID="{9F266E71-2169-497B-9FAB-DCF2A15DB1F0}">
  <ds:schemaRefs/>
</ds:datastoreItem>
</file>

<file path=customXml/itemProps7.xml><?xml version="1.0" encoding="utf-8"?>
<ds:datastoreItem xmlns:ds="http://schemas.openxmlformats.org/officeDocument/2006/customXml" ds:itemID="{28ABFA6A-93F5-45F7-8CFB-97B2A252F91E}">
  <ds:schemaRefs/>
</ds:datastoreItem>
</file>

<file path=customXml/itemProps8.xml><?xml version="1.0" encoding="utf-8"?>
<ds:datastoreItem xmlns:ds="http://schemas.openxmlformats.org/officeDocument/2006/customXml" ds:itemID="{47395270-B984-4EB7-A9EE-BA41332EA402}">
  <ds:schemaRefs/>
</ds:datastoreItem>
</file>

<file path=customXml/itemProps9.xml><?xml version="1.0" encoding="utf-8"?>
<ds:datastoreItem xmlns:ds="http://schemas.openxmlformats.org/officeDocument/2006/customXml" ds:itemID="{924DA400-AD8E-46F3-9807-FA12B5D586E9}">
  <ds:schemaRefs/>
</ds:datastoreItem>
</file>

<file path=customXml/itemProps10.xml><?xml version="1.0" encoding="utf-8"?>
<ds:datastoreItem xmlns:ds="http://schemas.openxmlformats.org/officeDocument/2006/customXml" ds:itemID="{464DF683-0497-41B5-B9A9-29C5ED3D0ADF}">
  <ds:schemaRefs/>
</ds:datastoreItem>
</file>

<file path=customXml/itemProps11.xml><?xml version="1.0" encoding="utf-8"?>
<ds:datastoreItem xmlns:ds="http://schemas.openxmlformats.org/officeDocument/2006/customXml" ds:itemID="{F07954EA-8C62-4393-B827-C75512297AC9}">
  <ds:schemaRefs/>
</ds:datastoreItem>
</file>

<file path=customXml/itemProps12.xml><?xml version="1.0" encoding="utf-8"?>
<ds:datastoreItem xmlns:ds="http://schemas.openxmlformats.org/officeDocument/2006/customXml" ds:itemID="{C404226A-9EDF-4A0C-81ED-34C3F78124AA}">
  <ds:schemaRefs/>
</ds:datastoreItem>
</file>

<file path=customXml/itemProps13.xml><?xml version="1.0" encoding="utf-8"?>
<ds:datastoreItem xmlns:ds="http://schemas.openxmlformats.org/officeDocument/2006/customXml" ds:itemID="{78A224C0-D8E1-4761-9E6C-81B3ACD735FC}">
  <ds:schemaRefs/>
</ds:datastoreItem>
</file>

<file path=customXml/itemProps14.xml><?xml version="1.0" encoding="utf-8"?>
<ds:datastoreItem xmlns:ds="http://schemas.openxmlformats.org/officeDocument/2006/customXml" ds:itemID="{340A3713-29BC-4A04-9C0F-AB9EDEB9AED8}">
  <ds:schemaRefs/>
</ds:datastoreItem>
</file>

<file path=customXml/itemProps15.xml><?xml version="1.0" encoding="utf-8"?>
<ds:datastoreItem xmlns:ds="http://schemas.openxmlformats.org/officeDocument/2006/customXml" ds:itemID="{5D114D60-D300-4DAC-B333-FE85BFAA3070}">
  <ds:schemaRefs/>
</ds:datastoreItem>
</file>

<file path=customXml/itemProps16.xml><?xml version="1.0" encoding="utf-8"?>
<ds:datastoreItem xmlns:ds="http://schemas.openxmlformats.org/officeDocument/2006/customXml" ds:itemID="{4D584595-A4B6-4AEE-BB11-BB3C73043382}">
  <ds:schemaRefs/>
</ds:datastoreItem>
</file>

<file path=customXml/itemProps17.xml><?xml version="1.0" encoding="utf-8"?>
<ds:datastoreItem xmlns:ds="http://schemas.openxmlformats.org/officeDocument/2006/customXml" ds:itemID="{B23C8295-0547-43C9-8087-EEA9EEFAB1CE}">
  <ds:schemaRefs/>
</ds:datastoreItem>
</file>

<file path=customXml/itemProps18.xml><?xml version="1.0" encoding="utf-8"?>
<ds:datastoreItem xmlns:ds="http://schemas.openxmlformats.org/officeDocument/2006/customXml" ds:itemID="{1604955C-AD7D-47F6-9A3B-F1011D79E8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Rahman Kassim</dc:creator>
  <cp:lastModifiedBy>Abdul Rahman Kassim</cp:lastModifiedBy>
  <dcterms:created xsi:type="dcterms:W3CDTF">2025-09-09T16:40:42Z</dcterms:created>
  <dcterms:modified xsi:type="dcterms:W3CDTF">2025-09-09T17:46:05Z</dcterms:modified>
</cp:coreProperties>
</file>